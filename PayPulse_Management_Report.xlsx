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0a5ea192b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5cd5285c2a4e4a11"/>
    <x:sheet xmlns:r="http://schemas.openxmlformats.org/officeDocument/2006/relationships" name="Bank Reliability" sheetId="2" r:id="Ree4f13ebde7e4d79"/>
    <x:sheet xmlns:r="http://schemas.openxmlformats.org/officeDocument/2006/relationships" name="Macro Trend" sheetId="3" r:id="R413b4a421a814a04"/>
    <x:sheet xmlns:r="http://schemas.openxmlformats.org/officeDocument/2006/relationships" name="Sources" sheetId="4" r:id="R2d9138b2742a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aac7d7feb4ea6" /><Relationship Type="http://schemas.openxmlformats.org/officeDocument/2006/relationships/theme" Target="/xl/theme/theme1.xml" Id="R5b6b3cf9e5dd4227" /><Relationship Type="http://schemas.openxmlformats.org/officeDocument/2006/relationships/sharedStrings" Target="/xl/sharedStrings.xml" Id="R93f56a817f914f9e" /><Relationship Type="http://schemas.openxmlformats.org/officeDocument/2006/relationships/worksheet" Target="/xl/worksheets/sheet1.xml" Id="R5cd5285c2a4e4a11" /><Relationship Type="http://schemas.openxmlformats.org/officeDocument/2006/relationships/worksheet" Target="/xl/worksheets/sheet2.xml" Id="Ree4f13ebde7e4d79" /><Relationship Type="http://schemas.openxmlformats.org/officeDocument/2006/relationships/worksheet" Target="/xl/worksheets/sheet3.xml" Id="R413b4a421a814a04" /><Relationship Type="http://schemas.openxmlformats.org/officeDocument/2006/relationships/worksheet" Target="/xl/worksheets/sheet4.xml" Id="R2d9138b2742a4f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PayPulse — UPI Reliability Economics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KPI</x:v>
      </x:c>
      <x:c r="B3" s="13" t="str">
        <x:v>Value</x:v>
      </x:c>
      <x:c r="D3" s="13" t="str">
        <x:v>Decision Lens</x:v>
      </x:c>
      <x:c r="E3" s="13"/>
      <x:c r="F3" s="13"/>
      <x:c r="G3" s="13"/>
      <x:c r="H3" s="13"/>
    </x:row>
    <x:row r="4">
      <x:c r="A4" t="str">
        <x:v>Total volume in bank snapshot (Mn)</x:v>
      </x:c>
      <x:c r="B4" s="18" t="n">
        <x:f>SUM('Bank Reliability'!B2:B18)</x:f>
        <x:v>18047.39</x:v>
      </x:c>
      <x:c r="D4" s="20" t="str">
        <x:v>Rate vs impact</x:v>
      </x:c>
      <x:c r="E4" s="20" t="str">
        <x:v>TD% alone can understate operational burden.</x:v>
      </x:c>
      <x:c r="F4" s="20"/>
      <x:c r="G4" s="20"/>
      <x:c r="H4" s="20"/>
    </x:row>
    <x:row r="5">
      <x:c r="A5" t="str">
        <x:v>Estimated technical failures (Mn)</x:v>
      </x:c>
      <x:c r="B5" s="18" t="n">
        <x:f>SUM('Bank Reliability'!J2:J18)</x:f>
        <x:v>85.80450000000002</x:v>
      </x:c>
      <x:c r="D5" s="20" t="str">
        <x:v>Business vs technical</x:v>
      </x:c>
      <x:c r="E5" s="20" t="str">
        <x:v>BD and TD need different remediation paths.</x:v>
      </x:c>
      <x:c r="F5" s="20"/>
      <x:c r="G5" s="20"/>
      <x:c r="H5" s="20"/>
    </x:row>
    <x:row r="6">
      <x:c r="A6" t="str">
        <x:v>Weighted TD %</x:v>
      </x:c>
      <x:c r="B6" s="18" t="n">
        <x:f>B5/B4*100</x:f>
        <x:v>0.475439938960703</x:v>
      </x:c>
      <x:c r="D6" s="20" t="str">
        <x:v>Reversal quality</x:v>
      </x:c>
      <x:c r="E6" s="20" t="str">
        <x:v>Reversal success adds a separate customer-risk signal.</x:v>
      </x:c>
      <x:c r="F6" s="20"/>
      <x:c r="G6" s="20"/>
      <x:c r="H6" s="20"/>
    </x:row>
    <x:row r="7">
      <x:c r="A7" t="str">
        <x:v>Banks at/above 1% TD</x:v>
      </x:c>
      <x:c r="B7" s="18" t="n">
        <x:f>COUNTIF('Bank Reliability'!E2:E18,"&gt;=1")</x:f>
        <x:v>2</x:v>
      </x:c>
      <x:c r="D7" s="20" t="str">
        <x:v>Macro context</x:v>
      </x:c>
      <x:c r="E7" s="20" t="str">
        <x:v>Latest packaged macro data shows continued UPI expansion.</x:v>
      </x:c>
      <x:c r="F7" s="20"/>
      <x:c r="G7" s="20"/>
      <x:c r="H7" s="20"/>
    </x:row>
    <x:row r="8">
      <x:c r="A8" t="str">
        <x:v>Largest unresolved reversal exposure (Mn)</x:v>
      </x:c>
      <x:c r="B8" s="18" t="n">
        <x:f>MAX('Bank Reliability'!M2:M18)</x:f>
        <x:v>2.1706</x:v>
      </x:c>
      <x:c r="D8" s="20" t="str">
        <x:v>Guardrail</x:v>
      </x:c>
      <x:c r="E8" s="20" t="str">
        <x:v>No transaction-level or merchant revenue-loss claim is made.</x:v>
      </x:c>
      <x:c r="F8" s="20"/>
      <x:c r="G8" s="20"/>
      <x:c r="H8" s="20"/>
    </x:row>
    <x:row r="9">
      <x:c r="D9" s="20" t="str">
        <x:v>Snapshot</x:v>
      </x:c>
      <x:c r="E9" s="20" t="str">
        <x:v>Bank/PSP: Aug 2025 | Macro: Apr–Aug 2026</x:v>
      </x:c>
      <x:c r="F9" s="20"/>
      <x:c r="G9" s="20"/>
      <x:c r="H9" s="20"/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.130000114440918" hidden="0" customWidth="1"/>
    <x:col min="3" max="3" width="11.130000114440918" hidden="0" customWidth="1"/>
    <x:col min="4" max="4" width="16.75" hidden="0" customWidth="1"/>
    <x:col min="5" max="5" width="17.1299991607666" hidden="0" customWidth="1"/>
    <x:col min="6" max="6" width="20.1299991607666" hidden="0" customWidth="1"/>
    <x:col min="7" max="7" width="21.3799991607666" hidden="0" customWidth="1"/>
    <x:col min="8" max="8" width="6.75" hidden="0" customWidth="1"/>
    <x:col min="9" max="9" width="17.75" hidden="0" customWidth="1"/>
    <x:col min="10" max="10" width="16" hidden="0" customWidth="1"/>
    <x:col min="11" max="11" width="15.630000114440918" hidden="0" customWidth="1"/>
    <x:col min="12" max="12" width="12.75" hidden="0" customWidth="1"/>
    <x:col min="13" max="13" width="19.3799991607666" hidden="0" customWidth="1"/>
    <x:col min="14" max="14" width="13.75" hidden="0" customWidth="1"/>
    <x:col min="15" max="15" width="14.130000114440918" hidden="0" customWidth="1"/>
    <x:col min="16" max="16" width="13.880000114440918" hidden="0" customWidth="1"/>
    <x:col min="17" max="17" width="16.3799991607666" hidden="0" customWidth="1"/>
    <x:col min="18" max="18" width="19.8799991607666" hidden="0" customWidth="1"/>
    <x:col min="19" max="19" width="10.380000114440918" hidden="0" customWidth="1"/>
    <x:col min="20" max="20" width="18" hidden="0" customWidth="1"/>
  </x:cols>
  <x:sheetData>
    <x:row r="1">
      <x:c r="A1" s="13" t="str">
        <x:v>bank_name</x:v>
      </x:c>
      <x:c r="B1" s="13" t="str">
        <x:v>total_volume_mn</x:v>
      </x:c>
      <x:c r="C1" s="13" t="str">
        <x:v>approved_pct</x:v>
      </x:c>
      <x:c r="D1" s="13" t="str">
        <x:v>business_decline_pct</x:v>
      </x:c>
      <x:c r="E1" s="13" t="str">
        <x:v>technical_decline_pct</x:v>
      </x:c>
      <x:c r="F1" s="13" t="str">
        <x:v>debit_reversal_count_mn</x:v>
      </x:c>
      <x:c r="G1" s="13" t="str">
        <x:v>debit_reversal_success_pct</x:v>
      </x:c>
      <x:c r="H1" s="13" t="str">
        <x:v>month</x:v>
      </x:c>
      <x:c r="I1" s="13" t="str">
        <x:v>approved_volume_mn</x:v>
      </x:c>
      <x:c r="J1" s="13" t="str">
        <x:v>technical_failed_mn</x:v>
      </x:c>
      <x:c r="K1" s="13" t="str">
        <x:v>business_failed_mn</x:v>
      </x:c>
      <x:c r="L1" s="13" t="str">
        <x:v>total_failed_mn</x:v>
      </x:c>
      <x:c r="M1" s="13" t="str">
        <x:v>unresolved_reversal_mn</x:v>
      </x:c>
      <x:c r="N1" s="13" t="str">
        <x:v>td_target_breach</x:v>
      </x:c>
      <x:c r="O1" s="13" t="str">
        <x:v>bd_target_breach</x:v>
      </x:c>
      <x:c r="P1" s="13" t="str">
        <x:v>td_absolute_rank</x:v>
      </x:c>
      <x:c r="Q1" s="13" t="str">
        <x:v>td_failure_share_pct</x:v>
      </x:c>
      <x:c r="R1" s="13" t="str">
        <x:v>td_cumulative_share_pct</x:v>
      </x:c>
      <x:c r="S1" s="13" t="str">
        <x:v>td_rate_rank</x:v>
      </x:c>
      <x:c r="T1" s="13" t="str">
        <x:v>priority_quadrant</x:v>
      </x:c>
    </x:row>
    <x:row r="2">
      <x:c r="A2" t="str">
        <x:v>Bank Of India</x:v>
      </x:c>
      <x:c r="B2" s="18" t="n">
        <x:v>605.1</x:v>
      </x:c>
      <x:c r="C2" s="18" t="n">
        <x:v>88.96</x:v>
      </x:c>
      <x:c r="D2" s="18" t="n">
        <x:v>6.72</x:v>
      </x:c>
      <x:c r="E2" s="18" t="n">
        <x:v>4.32</x:v>
      </x:c>
      <x:c r="F2" s="18" t="n">
        <x:v>5.14</x:v>
      </x:c>
      <x:c r="G2" s="18" t="n">
        <x:v>57.77</x:v>
      </x:c>
      <x:c r="H2" s="18" t="str">
        <x:v>2025-08</x:v>
      </x:c>
      <x:c r="I2" s="18" t="n">
        <x:v>538.297</x:v>
      </x:c>
      <x:c r="J2" s="18" t="n">
        <x:v>26.1403</x:v>
      </x:c>
      <x:c r="K2" s="18" t="n">
        <x:v>40.6627</x:v>
      </x:c>
      <x:c r="L2" s="18" t="n">
        <x:v>66.803</x:v>
      </x:c>
      <x:c r="M2" s="18" t="n">
        <x:v>2.1706</x:v>
      </x:c>
      <x:c r="N2" s="18" t="n">
        <x:v>1</x:v>
      </x:c>
      <x:c r="O2" s="18" t="n">
        <x:v>1</x:v>
      </x:c>
      <x:c r="P2" s="18" t="n">
        <x:v>1</x:v>
      </x:c>
      <x:c r="Q2" s="18" t="n">
        <x:v>30.46</x:v>
      </x:c>
      <x:c r="R2" s="18" t="n">
        <x:v>30.46</x:v>
      </x:c>
      <x:c r="S2" s="18" t="n">
        <x:v>1</x:v>
      </x:c>
      <x:c r="T2" t="str">
        <x:v>ACT_NOW</x:v>
      </x:c>
    </x:row>
    <x:row r="3">
      <x:c r="A3" t="str">
        <x:v>State Bank of India</x:v>
      </x:c>
      <x:c r="B3" s="18" t="n">
        <x:v>5368.74</x:v>
      </x:c>
      <x:c r="C3" s="18" t="n">
        <x:v>93.66</x:v>
      </x:c>
      <x:c r="D3" s="18" t="n">
        <x:v>5.92</x:v>
      </x:c>
      <x:c r="E3" s="18" t="n">
        <x:v>0.42</x:v>
      </x:c>
      <x:c r="F3" s="18" t="n">
        <x:v>14.51</x:v>
      </x:c>
      <x:c r="G3" s="18" t="n">
        <x:v>97.89</x:v>
      </x:c>
      <x:c r="H3" s="18" t="str">
        <x:v>2025-08</x:v>
      </x:c>
      <x:c r="I3" s="18" t="n">
        <x:v>5028.3619</x:v>
      </x:c>
      <x:c r="J3" s="18" t="n">
        <x:v>22.5487</x:v>
      </x:c>
      <x:c r="K3" s="18" t="n">
        <x:v>317.8294</x:v>
      </x:c>
      <x:c r="L3" s="18" t="n">
        <x:v>340.3781</x:v>
      </x:c>
      <x:c r="M3" s="18" t="n">
        <x:v>0.3062</x:v>
      </x:c>
      <x:c r="N3" s="18" t="n">
        <x:v>0</x:v>
      </x:c>
      <x:c r="O3" s="18" t="n">
        <x:v>1</x:v>
      </x:c>
      <x:c r="P3" s="18" t="n">
        <x:v>2</x:v>
      </x:c>
      <x:c r="Q3" s="18" t="n">
        <x:v>26.28</x:v>
      </x:c>
      <x:c r="R3" s="18" t="n">
        <x:v>56.74</x:v>
      </x:c>
      <x:c r="S3" s="18" t="n">
        <x:v>8</x:v>
      </x:c>
      <x:c r="T3" t="str">
        <x:v>WATCH_SCALE</x:v>
      </x:c>
    </x:row>
    <x:row r="4">
      <x:c r="A4" t="str">
        <x:v>Union Bank of India</x:v>
      </x:c>
      <x:c r="B4" s="18" t="n">
        <x:v>1233.2</x:v>
      </x:c>
      <x:c r="C4" s="18" t="n">
        <x:v>92.23</x:v>
      </x:c>
      <x:c r="D4" s="18" t="n">
        <x:v>7.02</x:v>
      </x:c>
      <x:c r="E4" s="18" t="n">
        <x:v>0.75</x:v>
      </x:c>
      <x:c r="F4" s="18" t="n">
        <x:v>4.64</x:v>
      </x:c>
      <x:c r="G4" s="18" t="n">
        <x:v>61.93</x:v>
      </x:c>
      <x:c r="H4" s="18" t="str">
        <x:v>2025-08</x:v>
      </x:c>
      <x:c r="I4" s="18" t="n">
        <x:v>1137.3804</x:v>
      </x:c>
      <x:c r="J4" s="18" t="n">
        <x:v>9.249</x:v>
      </x:c>
      <x:c r="K4" s="18" t="n">
        <x:v>86.5706</x:v>
      </x:c>
      <x:c r="L4" s="18" t="n">
        <x:v>95.8196</x:v>
      </x:c>
      <x:c r="M4" s="18" t="n">
        <x:v>1.7664</x:v>
      </x:c>
      <x:c r="N4" s="18" t="n">
        <x:v>0</x:v>
      </x:c>
      <x:c r="O4" s="18" t="n">
        <x:v>1</x:v>
      </x:c>
      <x:c r="P4" s="18" t="n">
        <x:v>3</x:v>
      </x:c>
      <x:c r="Q4" s="18" t="n">
        <x:v>10.78</x:v>
      </x:c>
      <x:c r="R4" s="18" t="n">
        <x:v>67.52</x:v>
      </x:c>
      <x:c r="S4" s="18" t="n">
        <x:v>4</x:v>
      </x:c>
      <x:c r="T4" t="str">
        <x:v>WATCH_SCALE</x:v>
      </x:c>
    </x:row>
    <x:row r="5">
      <x:c r="A5" t="str">
        <x:v>India Post Payments Bank Limited</x:v>
      </x:c>
      <x:c r="B5" s="18" t="n">
        <x:v>674.59</x:v>
      </x:c>
      <x:c r="C5" s="18" t="n">
        <x:v>87.92</x:v>
      </x:c>
      <x:c r="D5" s="18" t="n">
        <x:v>11.15</x:v>
      </x:c>
      <x:c r="E5" s="18" t="n">
        <x:v>0.93</x:v>
      </x:c>
      <x:c r="F5" s="18" t="n">
        <x:v>3.26</x:v>
      </x:c>
      <x:c r="G5" s="18" t="n">
        <x:v>74.86</x:v>
      </x:c>
      <x:c r="H5" s="18" t="str">
        <x:v>2025-08</x:v>
      </x:c>
      <x:c r="I5" s="18" t="n">
        <x:v>593.0995</x:v>
      </x:c>
      <x:c r="J5" s="18" t="n">
        <x:v>6.2737</x:v>
      </x:c>
      <x:c r="K5" s="18" t="n">
        <x:v>75.2168</x:v>
      </x:c>
      <x:c r="L5" s="18" t="n">
        <x:v>81.4905</x:v>
      </x:c>
      <x:c r="M5" s="18" t="n">
        <x:v>0.8196</x:v>
      </x:c>
      <x:c r="N5" s="18" t="n">
        <x:v>0</x:v>
      </x:c>
      <x:c r="O5" s="18" t="n">
        <x:v>1</x:v>
      </x:c>
      <x:c r="P5" s="18" t="n">
        <x:v>4</x:v>
      </x:c>
      <x:c r="Q5" s="18" t="n">
        <x:v>7.31</x:v>
      </x:c>
      <x:c r="R5" s="18" t="n">
        <x:v>74.83</x:v>
      </x:c>
      <x:c r="S5" s="18" t="n">
        <x:v>3</x:v>
      </x:c>
      <x:c r="T5" t="str">
        <x:v>WATCH_SCALE</x:v>
      </x:c>
    </x:row>
    <x:row r="6">
      <x:c r="A6" t="str">
        <x:v>ICICI Bank Ltd.</x:v>
      </x:c>
      <x:c r="B6" s="18" t="n">
        <x:v>752.78</x:v>
      </x:c>
      <x:c r="C6" s="18" t="n">
        <x:v>95.66</x:v>
      </x:c>
      <x:c r="D6" s="18" t="n">
        <x:v>3.82</x:v>
      </x:c>
      <x:c r="E6" s="18" t="n">
        <x:v>0.52</x:v>
      </x:c>
      <x:c r="F6" s="18" t="n">
        <x:v>2.11</x:v>
      </x:c>
      <x:c r="G6" s="18" t="n">
        <x:v>84.15</x:v>
      </x:c>
      <x:c r="H6" s="18" t="str">
        <x:v>2025-08</x:v>
      </x:c>
      <x:c r="I6" s="18" t="n">
        <x:v>720.1093</x:v>
      </x:c>
      <x:c r="J6" s="18" t="n">
        <x:v>3.9145</x:v>
      </x:c>
      <x:c r="K6" s="18" t="n">
        <x:v>28.7562</x:v>
      </x:c>
      <x:c r="L6" s="18" t="n">
        <x:v>32.6707</x:v>
      </x:c>
      <x:c r="M6" s="18" t="n">
        <x:v>0.3344</x:v>
      </x:c>
      <x:c r="N6" s="18" t="n">
        <x:v>0</x:v>
      </x:c>
      <x:c r="O6" s="18" t="n">
        <x:v>0</x:v>
      </x:c>
      <x:c r="P6" s="18" t="n">
        <x:v>5</x:v>
      </x:c>
      <x:c r="Q6" s="18" t="n">
        <x:v>4.56</x:v>
      </x:c>
      <x:c r="R6" s="18" t="n">
        <x:v>79.4</x:v>
      </x:c>
      <x:c r="S6" s="18" t="n">
        <x:v>7</x:v>
      </x:c>
      <x:c r="T6" t="str">
        <x:v>WATCH_SCALE</x:v>
      </x:c>
    </x:row>
    <x:row r="7">
      <x:c r="A7" t="str">
        <x:v>Canara Bank</x:v>
      </x:c>
      <x:c r="B7" s="18" t="n">
        <x:v>970.63</x:v>
      </x:c>
      <x:c r="C7" s="18" t="n">
        <x:v>92.73</x:v>
      </x:c>
      <x:c r="D7" s="18" t="n">
        <x:v>6.92</x:v>
      </x:c>
      <x:c r="E7" s="18" t="n">
        <x:v>0.36</x:v>
      </x:c>
      <x:c r="F7" s="18" t="n">
        <x:v>2.54</x:v>
      </x:c>
      <x:c r="G7" s="18" t="n">
        <x:v>89.02</x:v>
      </x:c>
      <x:c r="H7" s="18" t="str">
        <x:v>2025-08</x:v>
      </x:c>
      <x:c r="I7" s="18" t="n">
        <x:v>900.0652</x:v>
      </x:c>
      <x:c r="J7" s="18" t="n">
        <x:v>3.4943</x:v>
      </x:c>
      <x:c r="K7" s="18" t="n">
        <x:v>67.1676</x:v>
      </x:c>
      <x:c r="L7" s="18" t="n">
        <x:v>70.6619</x:v>
      </x:c>
      <x:c r="M7" s="18" t="n">
        <x:v>0.2789</x:v>
      </x:c>
      <x:c r="N7" s="18" t="n">
        <x:v>0</x:v>
      </x:c>
      <x:c r="O7" s="18" t="n">
        <x:v>1</x:v>
      </x:c>
      <x:c r="P7" s="18" t="n">
        <x:v>6</x:v>
      </x:c>
      <x:c r="Q7" s="18" t="n">
        <x:v>4.07</x:v>
      </x:c>
      <x:c r="R7" s="18" t="n">
        <x:v>83.47</x:v>
      </x:c>
      <x:c r="S7" s="18" t="n">
        <x:v>10</x:v>
      </x:c>
      <x:c r="T7" t="str">
        <x:v>WATCH_SCALE</x:v>
      </x:c>
    </x:row>
    <x:row r="8">
      <x:c r="A8" t="str">
        <x:v>Central Bank of India</x:v>
      </x:c>
      <x:c r="B8" s="18" t="n">
        <x:v>307.77</x:v>
      </x:c>
      <x:c r="C8" s="18" t="n">
        <x:v>91.12</x:v>
      </x:c>
      <x:c r="D8" s="18" t="n">
        <x:v>7.81</x:v>
      </x:c>
      <x:c r="E8" s="18" t="n">
        <x:v>1.08</x:v>
      </x:c>
      <x:c r="F8" s="18" t="n">
        <x:v>1.65</x:v>
      </x:c>
      <x:c r="G8" s="18" t="n">
        <x:v>80.86</x:v>
      </x:c>
      <x:c r="H8" s="18" t="str">
        <x:v>2025-08</x:v>
      </x:c>
      <x:c r="I8" s="18" t="n">
        <x:v>280.44</x:v>
      </x:c>
      <x:c r="J8" s="18" t="n">
        <x:v>3.3239</x:v>
      </x:c>
      <x:c r="K8" s="18" t="n">
        <x:v>24.0368</x:v>
      </x:c>
      <x:c r="L8" s="18" t="n">
        <x:v>27.3608</x:v>
      </x:c>
      <x:c r="M8" s="18" t="n">
        <x:v>0.3158</x:v>
      </x:c>
      <x:c r="N8" s="18" t="n">
        <x:v>1</x:v>
      </x:c>
      <x:c r="O8" s="18" t="n">
        <x:v>1</x:v>
      </x:c>
      <x:c r="P8" s="18" t="n">
        <x:v>7</x:v>
      </x:c>
      <x:c r="Q8" s="18" t="n">
        <x:v>3.87</x:v>
      </x:c>
      <x:c r="R8" s="18" t="n">
        <x:v>87.34</x:v>
      </x:c>
      <x:c r="S8" s="18" t="n">
        <x:v>2</x:v>
      </x:c>
      <x:c r="T8" t="str">
        <x:v>ACT_NOW</x:v>
      </x:c>
    </x:row>
    <x:row r="9">
      <x:c r="A9" t="str">
        <x:v>Punjab National Bank</x:v>
      </x:c>
      <x:c r="B9" s="18" t="n">
        <x:v>1131.31</x:v>
      </x:c>
      <x:c r="C9" s="18" t="n">
        <x:v>91.2</x:v>
      </x:c>
      <x:c r="D9" s="18" t="n">
        <x:v>8.61</x:v>
      </x:c>
      <x:c r="E9" s="18" t="n">
        <x:v>0.19</x:v>
      </x:c>
      <x:c r="F9" s="18" t="n">
        <x:v>3.52</x:v>
      </x:c>
      <x:c r="G9" s="18" t="n">
        <x:v>97.66</x:v>
      </x:c>
      <x:c r="H9" s="18" t="str">
        <x:v>2025-08</x:v>
      </x:c>
      <x:c r="I9" s="18" t="n">
        <x:v>1031.7547</x:v>
      </x:c>
      <x:c r="J9" s="18" t="n">
        <x:v>2.1495</x:v>
      </x:c>
      <x:c r="K9" s="18" t="n">
        <x:v>97.4058</x:v>
      </x:c>
      <x:c r="L9" s="18" t="n">
        <x:v>99.5553</x:v>
      </x:c>
      <x:c r="M9" s="18" t="n">
        <x:v>0.0824</x:v>
      </x:c>
      <x:c r="N9" s="18" t="n">
        <x:v>0</x:v>
      </x:c>
      <x:c r="O9" s="18" t="n">
        <x:v>1</x:v>
      </x:c>
      <x:c r="P9" s="18" t="n">
        <x:v>8</x:v>
      </x:c>
      <x:c r="Q9" s="18" t="n">
        <x:v>2.51</x:v>
      </x:c>
      <x:c r="R9" s="18" t="n">
        <x:v>89.85</x:v>
      </x:c>
      <x:c r="S9" s="18" t="n">
        <x:v>11</x:v>
      </x:c>
      <x:c r="T9" t="str">
        <x:v>WATCH_SCALE</x:v>
      </x:c>
    </x:row>
    <x:row r="10">
      <x:c r="A10" t="str">
        <x:v>Indian Overseas Bank</x:v>
      </x:c>
      <x:c r="B10" s="18" t="n">
        <x:v>330.15</x:v>
      </x:c>
      <x:c r="C10" s="18" t="n">
        <x:v>92.9</x:v>
      </x:c>
      <x:c r="D10" s="18" t="n">
        <x:v>6.47</x:v>
      </x:c>
      <x:c r="E10" s="18" t="n">
        <x:v>0.64</x:v>
      </x:c>
      <x:c r="F10" s="18" t="n">
        <x:v>1.24</x:v>
      </x:c>
      <x:c r="G10" s="18" t="n">
        <x:v>46.6</x:v>
      </x:c>
      <x:c r="H10" s="18" t="str">
        <x:v>2025-08</x:v>
      </x:c>
      <x:c r="I10" s="18" t="n">
        <x:v>306.7094</x:v>
      </x:c>
      <x:c r="J10" s="18" t="n">
        <x:v>2.113</x:v>
      </x:c>
      <x:c r="K10" s="18" t="n">
        <x:v>21.3607</x:v>
      </x:c>
      <x:c r="L10" s="18" t="n">
        <x:v>23.4737</x:v>
      </x:c>
      <x:c r="M10" s="18" t="n">
        <x:v>0.6622</x:v>
      </x:c>
      <x:c r="N10" s="18" t="n">
        <x:v>0</x:v>
      </x:c>
      <x:c r="O10" s="18" t="n">
        <x:v>1</x:v>
      </x:c>
      <x:c r="P10" s="18" t="n">
        <x:v>9</x:v>
      </x:c>
      <x:c r="Q10" s="18" t="n">
        <x:v>2.46</x:v>
      </x:c>
      <x:c r="R10" s="18" t="n">
        <x:v>92.31</x:v>
      </x:c>
      <x:c r="S10" s="18" t="n">
        <x:v>5</x:v>
      </x:c>
      <x:c r="T10" t="str">
        <x:v>WATCH_SCALE</x:v>
      </x:c>
    </x:row>
    <x:row r="11">
      <x:c r="A11" t="str">
        <x:v>Federal Bank Ltd.</x:v>
      </x:c>
      <x:c r="B11" s="18" t="n">
        <x:v>266.43</x:v>
      </x:c>
      <x:c r="C11" s="18" t="n">
        <x:v>93.11</x:v>
      </x:c>
      <x:c r="D11" s="18" t="n">
        <x:v>6.3</x:v>
      </x:c>
      <x:c r="E11" s="18" t="n">
        <x:v>0.59</x:v>
      </x:c>
      <x:c r="F11" s="18" t="n">
        <x:v>0.77</x:v>
      </x:c>
      <x:c r="G11" s="18" t="n">
        <x:v>84.27</x:v>
      </x:c>
      <x:c r="H11" s="18" t="str">
        <x:v>2025-08</x:v>
      </x:c>
      <x:c r="I11" s="18" t="n">
        <x:v>248.073</x:v>
      </x:c>
      <x:c r="J11" s="18" t="n">
        <x:v>1.5719</x:v>
      </x:c>
      <x:c r="K11" s="18" t="n">
        <x:v>16.7851</x:v>
      </x:c>
      <x:c r="L11" s="18" t="n">
        <x:v>18.357</x:v>
      </x:c>
      <x:c r="M11" s="18" t="n">
        <x:v>0.1211</x:v>
      </x:c>
      <x:c r="N11" s="18" t="n">
        <x:v>0</x:v>
      </x:c>
      <x:c r="O11" s="18" t="n">
        <x:v>1</x:v>
      </x:c>
      <x:c r="P11" s="18" t="n">
        <x:v>10</x:v>
      </x:c>
      <x:c r="Q11" s="18" t="n">
        <x:v>1.83</x:v>
      </x:c>
      <x:c r="R11" s="18" t="n">
        <x:v>94.14</x:v>
      </x:c>
      <x:c r="S11" s="18" t="n">
        <x:v>6</x:v>
      </x:c>
      <x:c r="T11" t="str">
        <x:v>LOWER_PRIORITY</x:v>
      </x:c>
    </x:row>
    <x:row r="12">
      <x:c r="A12" t="str">
        <x:v>Kotak Mahindra Bank</x:v>
      </x:c>
      <x:c r="B12" s="18" t="n">
        <x:v>978.17</x:v>
      </x:c>
      <x:c r="C12" s="18" t="n">
        <x:v>92.39</x:v>
      </x:c>
      <x:c r="D12" s="18" t="n">
        <x:v>7.47</x:v>
      </x:c>
      <x:c r="E12" s="18" t="n">
        <x:v>0.13</x:v>
      </x:c>
      <x:c r="F12" s="18" t="n">
        <x:v>2.46</x:v>
      </x:c>
      <x:c r="G12" s="18" t="n">
        <x:v>90.51</x:v>
      </x:c>
      <x:c r="H12" s="18" t="str">
        <x:v>2025-08</x:v>
      </x:c>
      <x:c r="I12" s="18" t="n">
        <x:v>903.7313</x:v>
      </x:c>
      <x:c r="J12" s="18" t="n">
        <x:v>1.2716</x:v>
      </x:c>
      <x:c r="K12" s="18" t="n">
        <x:v>73.0693</x:v>
      </x:c>
      <x:c r="L12" s="18" t="n">
        <x:v>74.3409</x:v>
      </x:c>
      <x:c r="M12" s="18" t="n">
        <x:v>0.2335</x:v>
      </x:c>
      <x:c r="N12" s="18" t="n">
        <x:v>0</x:v>
      </x:c>
      <x:c r="O12" s="18" t="n">
        <x:v>1</x:v>
      </x:c>
      <x:c r="P12" s="18" t="n">
        <x:v>11</x:v>
      </x:c>
      <x:c r="Q12" s="18" t="n">
        <x:v>1.48</x:v>
      </x:c>
      <x:c r="R12" s="18" t="n">
        <x:v>95.62</x:v>
      </x:c>
      <x:c r="S12" s="18" t="n">
        <x:v>13</x:v>
      </x:c>
      <x:c r="T12" t="str">
        <x:v>LOWER_PRIORITY</x:v>
      </x:c>
    </x:row>
    <x:row r="13">
      <x:c r="A13" t="str">
        <x:v>UCO Bank</x:v>
      </x:c>
      <x:c r="B13" s="18" t="n">
        <x:v>283.93</x:v>
      </x:c>
      <x:c r="C13" s="18" t="n">
        <x:v>91.7</x:v>
      </x:c>
      <x:c r="D13" s="18" t="n">
        <x:v>7.93</x:v>
      </x:c>
      <x:c r="E13" s="18" t="n">
        <x:v>0.37</x:v>
      </x:c>
      <x:c r="F13" s="18" t="n">
        <x:v>0.94</x:v>
      </x:c>
      <x:c r="G13" s="18" t="n">
        <x:v>85.11</x:v>
      </x:c>
      <x:c r="H13" s="18" t="str">
        <x:v>2025-08</x:v>
      </x:c>
      <x:c r="I13" s="18" t="n">
        <x:v>260.3638</x:v>
      </x:c>
      <x:c r="J13" s="18" t="n">
        <x:v>1.0505</x:v>
      </x:c>
      <x:c r="K13" s="18" t="n">
        <x:v>22.5156</x:v>
      </x:c>
      <x:c r="L13" s="18" t="n">
        <x:v>23.5662</x:v>
      </x:c>
      <x:c r="M13" s="18" t="n">
        <x:v>0.14</x:v>
      </x:c>
      <x:c r="N13" s="18" t="n">
        <x:v>0</x:v>
      </x:c>
      <x:c r="O13" s="18" t="n">
        <x:v>1</x:v>
      </x:c>
      <x:c r="P13" s="18" t="n">
        <x:v>12</x:v>
      </x:c>
      <x:c r="Q13" s="18" t="n">
        <x:v>1.22</x:v>
      </x:c>
      <x:c r="R13" s="18" t="n">
        <x:v>96.85</x:v>
      </x:c>
      <x:c r="S13" s="18" t="n">
        <x:v>9</x:v>
      </x:c>
      <x:c r="T13" t="str">
        <x:v>LOWER_PRIORITY</x:v>
      </x:c>
    </x:row>
    <x:row r="14">
      <x:c r="A14" t="str">
        <x:v>Indian Bank</x:v>
      </x:c>
      <x:c r="B14" s="18" t="n">
        <x:v>653.87</x:v>
      </x:c>
      <x:c r="C14" s="18" t="n">
        <x:v>93.05</x:v>
      </x:c>
      <x:c r="D14" s="18" t="n">
        <x:v>6.81</x:v>
      </x:c>
      <x:c r="E14" s="18" t="n">
        <x:v>0.14</x:v>
      </x:c>
      <x:c r="F14" s="18" t="n">
        <x:v>1.35</x:v>
      </x:c>
      <x:c r="G14" s="18" t="n">
        <x:v>1.9</x:v>
      </x:c>
      <x:c r="H14" s="18" t="str">
        <x:v>2025-08</x:v>
      </x:c>
      <x:c r="I14" s="18" t="n">
        <x:v>608.426</x:v>
      </x:c>
      <x:c r="J14" s="18" t="n">
        <x:v>0.9154</x:v>
      </x:c>
      <x:c r="K14" s="18" t="n">
        <x:v>44.5285</x:v>
      </x:c>
      <x:c r="L14" s="18" t="n">
        <x:v>45.444</x:v>
      </x:c>
      <x:c r="M14" s="18" t="n">
        <x:v>1.3244</x:v>
      </x:c>
      <x:c r="N14" s="18" t="n">
        <x:v>0</x:v>
      </x:c>
      <x:c r="O14" s="18" t="n">
        <x:v>1</x:v>
      </x:c>
      <x:c r="P14" s="18" t="n">
        <x:v>13</x:v>
      </x:c>
      <x:c r="Q14" s="18" t="n">
        <x:v>1.07</x:v>
      </x:c>
      <x:c r="R14" s="18" t="n">
        <x:v>97.92</x:v>
      </x:c>
      <x:c r="S14" s="18" t="n">
        <x:v>12</x:v>
      </x:c>
      <x:c r="T14" t="str">
        <x:v>LOWER_PRIORITY</x:v>
      </x:c>
    </x:row>
    <x:row r="15">
      <x:c r="A15" t="str">
        <x:v>Airtel Payments Bank Limited</x:v>
      </x:c>
      <x:c r="B15" s="18" t="n">
        <x:v>637.23</x:v>
      </x:c>
      <x:c r="C15" s="18" t="n">
        <x:v>85.83</x:v>
      </x:c>
      <x:c r="D15" s="18" t="n">
        <x:v>14.05</x:v>
      </x:c>
      <x:c r="E15" s="18" t="n">
        <x:v>0.12</x:v>
      </x:c>
      <x:c r="F15" s="18" t="n">
        <x:v>2.61</x:v>
      </x:c>
      <x:c r="G15" s="18" t="n">
        <x:v>99.17</x:v>
      </x:c>
      <x:c r="H15" s="18" t="str">
        <x:v>2025-08</x:v>
      </x:c>
      <x:c r="I15" s="18" t="n">
        <x:v>546.9345</x:v>
      </x:c>
      <x:c r="J15" s="18" t="n">
        <x:v>0.7647</x:v>
      </x:c>
      <x:c r="K15" s="18" t="n">
        <x:v>89.5308</x:v>
      </x:c>
      <x:c r="L15" s="18" t="n">
        <x:v>90.2955</x:v>
      </x:c>
      <x:c r="M15" s="18" t="n">
        <x:v>0.0217</x:v>
      </x:c>
      <x:c r="N15" s="18" t="n">
        <x:v>0</x:v>
      </x:c>
      <x:c r="O15" s="18" t="n">
        <x:v>1</x:v>
      </x:c>
      <x:c r="P15" s="18" t="n">
        <x:v>14</x:v>
      </x:c>
      <x:c r="Q15" s="18" t="n">
        <x:v>0.89</x:v>
      </x:c>
      <x:c r="R15" s="18" t="n">
        <x:v>98.81</x:v>
      </x:c>
      <x:c r="S15" s="18" t="n">
        <x:v>14</x:v>
      </x:c>
      <x:c r="T15" t="str">
        <x:v>LOWER_PRIORITY</x:v>
      </x:c>
    </x:row>
    <x:row r="16">
      <x:c r="A16" t="str">
        <x:v>Bank of Baroda</x:v>
      </x:c>
      <x:c r="B16" s="18" t="n">
        <x:v>1369.53</x:v>
      </x:c>
      <x:c r="C16" s="18" t="n">
        <x:v>91.44</x:v>
      </x:c>
      <x:c r="D16" s="18" t="n">
        <x:v>8.5</x:v>
      </x:c>
      <x:c r="E16" s="18" t="n">
        <x:v>0.05</x:v>
      </x:c>
      <x:c r="F16" s="18" t="n">
        <x:v>3.73</x:v>
      </x:c>
      <x:c r="G16" s="18" t="n">
        <x:v>99.03</x:v>
      </x:c>
      <x:c r="H16" s="18" t="str">
        <x:v>2025-08</x:v>
      </x:c>
      <x:c r="I16" s="18" t="n">
        <x:v>1252.2982</x:v>
      </x:c>
      <x:c r="J16" s="18" t="n">
        <x:v>0.6848</x:v>
      </x:c>
      <x:c r="K16" s="18" t="n">
        <x:v>116.41</x:v>
      </x:c>
      <x:c r="L16" s="18" t="n">
        <x:v>117.0948</x:v>
      </x:c>
      <x:c r="M16" s="18" t="n">
        <x:v>0.0362</x:v>
      </x:c>
      <x:c r="N16" s="18" t="n">
        <x:v>0</x:v>
      </x:c>
      <x:c r="O16" s="18" t="n">
        <x:v>1</x:v>
      </x:c>
      <x:c r="P16" s="18" t="n">
        <x:v>15</x:v>
      </x:c>
      <x:c r="Q16" s="18" t="n">
        <x:v>0.8</x:v>
      </x:c>
      <x:c r="R16" s="18" t="n">
        <x:v>99.61</x:v>
      </x:c>
      <x:c r="S16" s="18" t="n">
        <x:v>15</x:v>
      </x:c>
      <x:c r="T16" t="str">
        <x:v>LOWER_PRIORITY</x:v>
      </x:c>
    </x:row>
    <x:row r="17">
      <x:c r="A17" t="str">
        <x:v>Axis Bank Ltd.</x:v>
      </x:c>
      <x:c r="B17" s="18" t="n">
        <x:v>902.87</x:v>
      </x:c>
      <x:c r="C17" s="18" t="n">
        <x:v>94.96</x:v>
      </x:c>
      <x:c r="D17" s="18" t="n">
        <x:v>5.03</x:v>
      </x:c>
      <x:c r="E17" s="18" t="n">
        <x:v>0.02</x:v>
      </x:c>
      <x:c r="F17" s="18" t="n">
        <x:v>1.77</x:v>
      </x:c>
      <x:c r="G17" s="18" t="n">
        <x:v>99.76</x:v>
      </x:c>
      <x:c r="H17" s="18" t="str">
        <x:v>2025-08</x:v>
      </x:c>
      <x:c r="I17" s="18" t="n">
        <x:v>857.3654</x:v>
      </x:c>
      <x:c r="J17" s="18" t="n">
        <x:v>0.1806</x:v>
      </x:c>
      <x:c r="K17" s="18" t="n">
        <x:v>45.4144</x:v>
      </x:c>
      <x:c r="L17" s="18" t="n">
        <x:v>45.5949</x:v>
      </x:c>
      <x:c r="M17" s="18" t="n">
        <x:v>0.0042</x:v>
      </x:c>
      <x:c r="N17" s="18" t="n">
        <x:v>0</x:v>
      </x:c>
      <x:c r="O17" s="18" t="n">
        <x:v>1</x:v>
      </x:c>
      <x:c r="P17" s="18" t="n">
        <x:v>16</x:v>
      </x:c>
      <x:c r="Q17" s="18" t="n">
        <x:v>0.21</x:v>
      </x:c>
      <x:c r="R17" s="18" t="n">
        <x:v>99.82</x:v>
      </x:c>
      <x:c r="S17" s="18" t="n">
        <x:v>16</x:v>
      </x:c>
      <x:c r="T17" t="str">
        <x:v>LOWER_PRIORITY</x:v>
      </x:c>
    </x:row>
    <x:row r="18">
      <x:c r="A18" t="str">
        <x:v>HDFC Bank Ltd.</x:v>
      </x:c>
      <x:c r="B18" s="18" t="n">
        <x:v>1581.09</x:v>
      </x:c>
      <x:c r="C18" s="18" t="n">
        <x:v>95.37</x:v>
      </x:c>
      <x:c r="D18" s="18" t="n">
        <x:v>4.63</x:v>
      </x:c>
      <x:c r="E18" s="18" t="n">
        <x:v>0.01</x:v>
      </x:c>
      <x:c r="F18" s="18" t="n">
        <x:v>3.51</x:v>
      </x:c>
      <x:c r="G18" s="18" t="n">
        <x:v>98.73</x:v>
      </x:c>
      <x:c r="H18" s="18" t="str">
        <x:v>2025-08</x:v>
      </x:c>
      <x:c r="I18" s="18" t="n">
        <x:v>1507.8855</x:v>
      </x:c>
      <x:c r="J18" s="18" t="n">
        <x:v>0.1581</x:v>
      </x:c>
      <x:c r="K18" s="18" t="n">
        <x:v>73.2045</x:v>
      </x:c>
      <x:c r="L18" s="18" t="n">
        <x:v>73.3626</x:v>
      </x:c>
      <x:c r="M18" s="18" t="n">
        <x:v>0.0446</x:v>
      </x:c>
      <x:c r="N18" s="18" t="n">
        <x:v>0</x:v>
      </x:c>
      <x:c r="O18" s="18" t="n">
        <x:v>0</x:v>
      </x:c>
      <x:c r="P18" s="18" t="n">
        <x:v>17</x:v>
      </x:c>
      <x:c r="Q18" s="18" t="n">
        <x:v>0.18</x:v>
      </x:c>
      <x:c r="R18" s="18" t="n">
        <x:v>100</x:v>
      </x:c>
      <x:c r="S18" s="18" t="n">
        <x:v>17</x:v>
      </x:c>
      <x:c r="T18" t="str">
        <x:v>LOWER_PRIORITY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8.630000114440918" hidden="0" customWidth="1"/>
    <x:col min="3" max="3" width="9.630000114440918" hidden="0" customWidth="1"/>
    <x:col min="4" max="4" width="9.380000114440918" hidden="0" customWidth="1"/>
    <x:col min="5" max="5" width="14.5" hidden="0" customWidth="1"/>
    <x:col min="6" max="6" width="14.380000114440918" hidden="0" customWidth="1"/>
    <x:col min="7" max="7" width="12.880000114440918" hidden="0" customWidth="1"/>
    <x:col min="8" max="8" width="16.25" hidden="0" customWidth="1"/>
  </x:cols>
  <x:sheetData>
    <x:row r="1">
      <x:c r="A1" s="13" t="str">
        <x:v>month</x:v>
      </x:c>
      <x:c r="B1" s="13" t="str">
        <x:v>banks_live</x:v>
      </x:c>
      <x:c r="C1" s="13" t="str">
        <x:v>volume_mn</x:v>
      </x:c>
      <x:c r="D1" s="13" t="str">
        <x:v>value_cr</x:v>
      </x:c>
      <x:c r="E1" s="13" t="str">
        <x:v>avg_txn_value_inr</x:v>
      </x:c>
      <x:c r="F1" s="13" t="str">
        <x:v>volume_mom_pct</x:v>
      </x:c>
      <x:c r="G1" s="13" t="str">
        <x:v>value_mom_pct</x:v>
      </x:c>
      <x:c r="H1" s="13" t="str">
        <x:v>banks_mom_change</x:v>
      </x:c>
    </x:row>
    <x:row r="2">
      <x:c r="A2" t="str">
        <x:v>2026-04</x:v>
      </x:c>
      <x:c r="B2" t="n">
        <x:v>713</x:v>
      </x:c>
      <x:c r="C2" t="n">
        <x:v>22346.8</x:v>
      </x:c>
      <x:c r="D2" t="n">
        <x:v>2902988.05</x:v>
      </x:c>
      <x:c r="E2" t="n">
        <x:v>12990.62</x:v>
      </x:c>
      <x:c r="F2"/>
      <x:c r="G2"/>
      <x:c r="H2"/>
    </x:row>
    <x:row r="3">
      <x:c r="A3" t="str">
        <x:v>2026-05</x:v>
      </x:c>
      <x:c r="B3" t="n">
        <x:v>720</x:v>
      </x:c>
      <x:c r="C3" t="n">
        <x:v>23201.93</x:v>
      </x:c>
      <x:c r="D3" t="n">
        <x:v>2990424.21</x:v>
      </x:c>
      <x:c r="E3" t="n">
        <x:v>12888.69</x:v>
      </x:c>
      <x:c r="F3" t="n">
        <x:v>3.83</x:v>
      </x:c>
      <x:c r="G3" t="n">
        <x:v>3.01</x:v>
      </x:c>
      <x:c r="H3" t="n">
        <x:v>7</x:v>
      </x:c>
    </x:row>
    <x:row r="4">
      <x:c r="A4" t="str">
        <x:v>2026-06</x:v>
      </x:c>
      <x:c r="B4" t="n">
        <x:v>731</x:v>
      </x:c>
      <x:c r="C4" t="n">
        <x:v>22716.07</x:v>
      </x:c>
      <x:c r="D4" t="n">
        <x:v>2892138.67</x:v>
      </x:c>
      <x:c r="E4" t="n">
        <x:v>12731.69</x:v>
      </x:c>
      <x:c r="F4" t="n">
        <x:v>-2.09</x:v>
      </x:c>
      <x:c r="G4" t="n">
        <x:v>-3.29</x:v>
      </x:c>
      <x:c r="H4" t="n">
        <x:v>11</x:v>
      </x:c>
    </x:row>
    <x:row r="5">
      <x:c r="A5" t="str">
        <x:v>2026-07</x:v>
      </x:c>
      <x:c r="B5" t="n">
        <x:v>741</x:v>
      </x:c>
      <x:c r="C5" t="n">
        <x:v>23658.35</x:v>
      </x:c>
      <x:c r="D5" t="n">
        <x:v>2987880.49</x:v>
      </x:c>
      <x:c r="E5" t="n">
        <x:v>12629.29</x:v>
      </x:c>
      <x:c r="F5" t="n">
        <x:v>4.15</x:v>
      </x:c>
      <x:c r="G5" t="n">
        <x:v>3.31</x:v>
      </x:c>
      <x:c r="H5" t="n">
        <x:v>10</x:v>
      </x:c>
    </x:row>
    <x:row r="6">
      <x:c r="A6" t="str">
        <x:v>2026-08</x:v>
      </x:c>
      <x:c r="B6" t="n">
        <x:v>752</x:v>
      </x:c>
      <x:c r="C6" t="n">
        <x:v>24508.96</x:v>
      </x:c>
      <x:c r="D6" t="n">
        <x:v>2982355.95</x:v>
      </x:c>
      <x:c r="E6" t="n">
        <x:v>12168.43</x:v>
      </x:c>
      <x:c r="F6" t="n">
        <x:v>3.6</x:v>
      </x:c>
      <x:c r="G6" t="n">
        <x:v>-0.18</x:v>
      </x:c>
      <x:c r="H6" t="n">
        <x:v>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65" hidden="0" customWidth="1"/>
  </x:cols>
  <x:sheetData>
    <x:row r="1">
      <x:c r="A1" s="22" t="str">
        <x:v>Source</x:v>
      </x:c>
      <x:c r="B1" s="22" t="str">
        <x:v>URL</x:v>
      </x:c>
    </x:row>
    <x:row r="2">
      <x:c r="A2" s="20" t="str">
        <x:v>NPCI UPI Ecosystem Statistics</x:v>
      </x:c>
      <x:c r="B2" s="20" t="str">
        <x:v>https://www.npci.org.in/what-we-do/upi/upi-ecosystem-statistics</x:v>
      </x:c>
    </x:row>
    <x:row r="3">
      <x:c r="A3" s="20" t="str">
        <x:v>NPCI UPI Product Statistics</x:v>
      </x:c>
      <x:c r="B3" s="20" t="str">
        <x:v>https://www.npci.org.in/product/upi/product-statistics</x:v>
      </x:c>
    </x:row>
    <x:row r="4">
      <x:c r="A4" s="20" t="str">
        <x:v>Snapshot note</x:v>
      </x:c>
      <x:c r="B4" s="20" t="str">
        <x:v>Bank/PSP: Aug 2025; macro: Apr–Aug 2026</x:v>
      </x:c>
    </x:row>
  </x:sheetData>
  <x:pageMargins left="0.7" right="0.7" top="0.75" bottom="0.75" header="0.3" footer="0.3"/>
</x:worksheet>
</file>